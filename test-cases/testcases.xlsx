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iaPham.GRAPECITY\Downloads\"/>
    </mc:Choice>
  </mc:AlternateContent>
  <xr:revisionPtr revIDLastSave="0" documentId="13_ncr:1_{AA07B680-5FD4-4639-8834-27FB761DAB9D}" xr6:coauthVersionLast="47" xr6:coauthVersionMax="47" xr10:uidLastSave="{00000000-0000-0000-0000-000000000000}"/>
  <bookViews>
    <workbookView xWindow="22932" yWindow="-108" windowWidth="23256" windowHeight="13896" tabRatio="500" activeTab="1" xr2:uid="{00000000-000D-0000-FFFF-FFFF00000000}"/>
  </bookViews>
  <sheets>
    <sheet name="Huong dan" sheetId="1" r:id="rId1"/>
    <sheet name="Test Cases" sheetId="2" r:id="rId2"/>
    <sheet name="Decision Table" sheetId="3" r:id="rId3"/>
    <sheet name="Summary" sheetId="4" r:id="rId4"/>
  </sheets>
  <definedNames>
    <definedName name="_xlnm._FilterDatabase" localSheetId="1" hidden="1">'Test Cases'!$A$1:$L$27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4" l="1"/>
  <c r="B6" i="4"/>
  <c r="B5" i="4"/>
  <c r="B4" i="4"/>
  <c r="B8" i="4" l="1"/>
  <c r="B11" i="4"/>
  <c r="C4" i="4" l="1"/>
  <c r="C5" i="4"/>
  <c r="C6" i="4"/>
  <c r="C7" i="4"/>
  <c r="C8" i="4"/>
  <c r="B10" i="4"/>
</calcChain>
</file>

<file path=xl/sharedStrings.xml><?xml version="1.0" encoding="utf-8"?>
<sst xmlns="http://schemas.openxmlformats.org/spreadsheetml/2006/main" count="236" uniqueCount="138">
  <si>
    <t>Bộ test case – ParaBank Transfer Funds &amp; Bill Pay</t>
  </si>
  <si>
    <t>Người viết: Mia Pham | Ngày: 30/10/2026 | Liên kết: docs/requirements.md, docs/test-plan.md</t>
  </si>
  <si>
    <t>CÁCH DÙNG FILE</t>
  </si>
  <si>
    <t>• Dòng nền XANH LÁ = ví dụ đã viết đầy đủ. Đọc kỹ để làm theo format.</t>
  </si>
  <si>
    <t>• Ô nền VÀNG = bạn tự điền (Tiền điều kiện, Bước, Dữ liệu, Kết quả mong đợi, Kết quả thực tế, Trạng thái).</t>
  </si>
  <si>
    <t>• Cột ID, Requirement, Kỹ thuật, Tiêu đề đã có sẵn – có thể sửa nếu muốn.</t>
  </si>
  <si>
    <t>• Cột Trạng thái chọn từ danh sách: Pass / Fail / Blocked / Not Run.</t>
  </si>
  <si>
    <t>• Fail → ghi mã bug Jira (VD: PBT-1) vào cột Bug ID.</t>
  </si>
  <si>
    <t>• Sheet Summary tự đếm số case theo trạng thái (công thức) – không cần sửa.</t>
  </si>
  <si>
    <t>KỸ THUẬT (để nói khi phỏng vấn)</t>
  </si>
  <si>
    <t>BVA = Phân tích giá trị biên | EP = Phân vùng tương đương | DT = Bảng quyết định | EG = Đoán lỗi | DI = Kiểm tra toàn vẹn dữ liệu | UI = Giao diện</t>
  </si>
  <si>
    <t>ID</t>
  </si>
  <si>
    <t>Requirement</t>
  </si>
  <si>
    <t>Kỹ thuật</t>
  </si>
  <si>
    <t>Tiêu đề</t>
  </si>
  <si>
    <t>Tiền điều kiện</t>
  </si>
  <si>
    <t>Các bước</t>
  </si>
  <si>
    <t>Dữ liệu test</t>
  </si>
  <si>
    <t>Kết quả mong đợi</t>
  </si>
  <si>
    <t>Kết quả thực tế</t>
  </si>
  <si>
    <t>Trạng thái</t>
  </si>
  <si>
    <t>Bug ID</t>
  </si>
  <si>
    <t>Ghi chú</t>
  </si>
  <si>
    <t>TC-TF-01</t>
  </si>
  <si>
    <t>R-TF-01</t>
  </si>
  <si>
    <t>Functional</t>
  </si>
  <si>
    <t>Chuyển tiền hợp lệ giữa 2 tài khoản</t>
  </si>
  <si>
    <t>Đã đăng nhập; có 2 tài khoản A (17451) và B (17562); ghi lại số dư A, B trước khi chạy</t>
  </si>
  <si>
    <t>1. Mở Transfer Funds
2. Nhập Amount
3. Chọn From = A, To = B
4. Bấm Transfer
5. Mở Accounts Overview</t>
  </si>
  <si>
    <t>Amount = 10</t>
  </si>
  <si>
    <t>- Hiện "Transfer Complete!" kèm đúng số tiền và số tài khoản
- Số dư A giảm 10, B tăng 10
- Tổng số dư không đổi</t>
  </si>
  <si>
    <t>Hiện "Transfer Complete! $10.00 has been transferred from account #17451 to account #17562." A: 415.50→405.50; B: 100.00→110.00; tổng 515.50</t>
  </si>
  <si>
    <t>Pass</t>
  </si>
  <si>
    <t>TC-TF-02</t>
  </si>
  <si>
    <t>R-TF-02</t>
  </si>
  <si>
    <t>BVA</t>
  </si>
  <si>
    <t>Chuyển số tiền nhỏ nhất (0.01)</t>
  </si>
  <si>
    <t>Not Run</t>
  </si>
  <si>
    <t>TC-TF-03</t>
  </si>
  <si>
    <t>R-TF-03</t>
  </si>
  <si>
    <t>Chuyển số tiền bằng 0 bị chặn</t>
  </si>
  <si>
    <t>TC-TF-04</t>
  </si>
  <si>
    <t>R-TF-04</t>
  </si>
  <si>
    <t>Chuyển số tiền âm bị chặn</t>
  </si>
  <si>
    <t>TC-TF-05</t>
  </si>
  <si>
    <t>R-TF-05</t>
  </si>
  <si>
    <t>EP</t>
  </si>
  <si>
    <t>Nhập chữ vào Amount bị chặn bằng thông báo validate</t>
  </si>
  <si>
    <t>Fail</t>
  </si>
  <si>
    <t>TC-TF-06</t>
  </si>
  <si>
    <t>R-TF-06</t>
  </si>
  <si>
    <t>Để trống Amount bị chặn</t>
  </si>
  <si>
    <t>TC-TF-07</t>
  </si>
  <si>
    <t>R-TF-07</t>
  </si>
  <si>
    <t>Amount có 3 chữ số thập phân (10.999)</t>
  </si>
  <si>
    <t>TC-TF-08</t>
  </si>
  <si>
    <t>R-TF-08</t>
  </si>
  <si>
    <t>Chuyển bằng đúng số dư tài khoản nguồn</t>
  </si>
  <si>
    <t>TC-TF-09</t>
  </si>
  <si>
    <t>Chuyển số dư + 0.01 (vượt số dư) bị chặn</t>
  </si>
  <si>
    <t>TC-TF-10</t>
  </si>
  <si>
    <t>Amount chứa ký tự đặc biệt ($10, 10,5)</t>
  </si>
  <si>
    <t>TC-TF-11</t>
  </si>
  <si>
    <t>R-TF-09</t>
  </si>
  <si>
    <t>DT</t>
  </si>
  <si>
    <t>Chuyển tiền khi From = To (cùng tài khoản)</t>
  </si>
  <si>
    <t>TC-TF-12</t>
  </si>
  <si>
    <t>R-TF-10</t>
  </si>
  <si>
    <t>EG</t>
  </si>
  <si>
    <t>Bấm Transfer 2 lần liên tiếp không bị trừ tiền 2 lần</t>
  </si>
  <si>
    <t>TC-TF-13</t>
  </si>
  <si>
    <t>R-TF-11</t>
  </si>
  <si>
    <t>Bấm Back / F5 sau khi chuyển không gửi lại giao dịch</t>
  </si>
  <si>
    <t>TC-TF-14</t>
  </si>
  <si>
    <t>R-TF-12</t>
  </si>
  <si>
    <t>DI</t>
  </si>
  <si>
    <t>Giao dịch hiện đúng loại Debit ở tài khoản nguồn (Find Transactions)</t>
  </si>
  <si>
    <t>TC-TF-15</t>
  </si>
  <si>
    <t>Giao dịch hiện đúng loại Credit ở tài khoản đích (Find Transactions)</t>
  </si>
  <si>
    <t>TC-BP-01</t>
  </si>
  <si>
    <t>R-BP-01</t>
  </si>
  <si>
    <t>Thanh toán hóa đơn hợp lệ</t>
  </si>
  <si>
    <t>TC-BP-02</t>
  </si>
  <si>
    <t>R-BP-02</t>
  </si>
  <si>
    <t>Bỏ trống các trường bắt buộc hiện lỗi đúng trường</t>
  </si>
  <si>
    <t>TC-BP-03</t>
  </si>
  <si>
    <t>R-BP-03</t>
  </si>
  <si>
    <t>Account # và Verify Account # không khớp bị chặn</t>
  </si>
  <si>
    <t>TC-BP-04</t>
  </si>
  <si>
    <t>R-BP-04</t>
  </si>
  <si>
    <t>Account # là chữ bị chặn</t>
  </si>
  <si>
    <t>TC-BP-05</t>
  </si>
  <si>
    <t>R-BP-05</t>
  </si>
  <si>
    <t>Amount âm bị chặn</t>
  </si>
  <si>
    <t>TC-BP-06</t>
  </si>
  <si>
    <t>R-BP-06</t>
  </si>
  <si>
    <t>Amount = 0 bị chặn</t>
  </si>
  <si>
    <t>TC-BP-07</t>
  </si>
  <si>
    <t>R-BP-07</t>
  </si>
  <si>
    <t>Amount vượt số dư bị chặn</t>
  </si>
  <si>
    <t>TC-BP-08</t>
  </si>
  <si>
    <t>R-BP-08</t>
  </si>
  <si>
    <t>Phone / Zip sai định dạng bị chặn</t>
  </si>
  <si>
    <t>TC-BP-09</t>
  </si>
  <si>
    <t>R-BP-09</t>
  </si>
  <si>
    <t>Thanh toán tới tài khoản không tồn tại</t>
  </si>
  <si>
    <t>TC-MB-01</t>
  </si>
  <si>
    <t>UI</t>
  </si>
  <si>
    <t>Transfer Funds hiển thị và thao tác được trên màn hình điện thoại</t>
  </si>
  <si>
    <t>TC-MB-02</t>
  </si>
  <si>
    <t>Form Bill Pay hiển thị đủ trường trên màn hình điện thoại</t>
  </si>
  <si>
    <t>Bảng quyết định – Transfer Funds</t>
  </si>
  <si>
    <t>Điều kiện / Hành động</t>
  </si>
  <si>
    <t>Rule 1</t>
  </si>
  <si>
    <t>Rule 2</t>
  </si>
  <si>
    <t>Rule 3</t>
  </si>
  <si>
    <t>Rule 4</t>
  </si>
  <si>
    <t>C1: From ≠ To</t>
  </si>
  <si>
    <t>Y</t>
  </si>
  <si>
    <t>N</t>
  </si>
  <si>
    <t>C2: Số tiền hợp lệ (&gt; 0, là số)</t>
  </si>
  <si>
    <t>C3: Số tiền ≤ số dư</t>
  </si>
  <si>
    <t>-</t>
  </si>
  <si>
    <t>Chuyển thành công</t>
  </si>
  <si>
    <t>Chặn: không đủ số dư</t>
  </si>
  <si>
    <t>Chặn: số tiền không hợp lệ</t>
  </si>
  <si>
    <t>Chặn: trùng tài khoản</t>
  </si>
  <si>
    <t>Test case</t>
  </si>
  <si>
    <t>TC-TF-04, 05</t>
  </si>
  <si>
    <t>Y = đúng, N = sai, - = không quan trọng. Kết quả mong đợi dựa trên nghiệp vụ ngân hàng thông thường; xác nhận lại với BA (xem câu hỏi trong requirements.md).</t>
  </si>
  <si>
    <t>Tổng hợp kết quả chạy test</t>
  </si>
  <si>
    <t>Số case</t>
  </si>
  <si>
    <t>Tỉ lệ</t>
  </si>
  <si>
    <t>Blocked</t>
  </si>
  <si>
    <t>Tổng</t>
  </si>
  <si>
    <t>Tiến độ chạy (đã chạy / tổng)</t>
  </si>
  <si>
    <t>Pass rate (pass / đã chạy)</t>
  </si>
  <si>
    <t>1. Mở Transfer Funds
2. Nhập Amount
3. Chọn From = A, To = A
4. Bấm Transfer
5. Mở Accounts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</si>
</sst>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4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3">
    <dxf>
      <font>
        <b/>
        <name val="Arial"/>
        <charset val="1"/>
      </font>
      <fill>
        <patternFill>
          <bgColor rgb="FFFFEB9C"/>
        </patternFill>
      </fill>
    </dxf>
    <dxf>
      <font>
        <b/>
        <name val="Arial"/>
        <charset val="1"/>
      </font>
      <fill>
        <patternFill>
          <bgColor rgb="FFFFC7CE"/>
        </patternFill>
      </fill>
    </dxf>
    <dxf>
      <font>
        <b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/>
    </row>
    <row r="12" spans="1:1" x14ac:dyDescent="0.25">
      <c r="A12" s="3" t="s">
        <v>9</v>
      </c>
    </row>
    <row r="13" spans="1:1" x14ac:dyDescent="0.25">
      <c r="A13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3" sqref="G3"/>
    </sheetView>
  </sheetViews>
  <sheetFormatPr defaultColWidth="8.7109375" defaultRowHeight="15" x14ac:dyDescent="0.25"/>
  <cols>
    <col min="1" max="2" width="11" customWidth="1"/>
    <col min="3" max="3" width="9" customWidth="1"/>
    <col min="4" max="4" width="34" customWidth="1"/>
    <col min="5" max="5" width="28" customWidth="1"/>
    <col min="6" max="6" width="40" customWidth="1"/>
    <col min="7" max="7" width="22" customWidth="1"/>
    <col min="8" max="9" width="40" customWidth="1"/>
    <col min="10" max="10" width="11" customWidth="1"/>
    <col min="11" max="11" width="9" customWidth="1"/>
    <col min="12" max="12" width="22" customWidth="1"/>
  </cols>
  <sheetData>
    <row r="1" spans="1:12" ht="30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</row>
    <row r="2" spans="1:12" ht="63.75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/>
      <c r="L2" s="5"/>
    </row>
    <row r="3" spans="1:12" ht="63.75" x14ac:dyDescent="0.25">
      <c r="A3" s="6" t="s">
        <v>33</v>
      </c>
      <c r="B3" s="6" t="s">
        <v>34</v>
      </c>
      <c r="C3" s="6" t="s">
        <v>35</v>
      </c>
      <c r="D3" s="6" t="s">
        <v>36</v>
      </c>
      <c r="E3" s="5" t="s">
        <v>27</v>
      </c>
      <c r="F3" s="5" t="s">
        <v>28</v>
      </c>
      <c r="G3" s="7"/>
      <c r="H3" s="7"/>
      <c r="I3" s="7"/>
      <c r="J3" s="7" t="s">
        <v>37</v>
      </c>
      <c r="K3" s="6"/>
      <c r="L3" s="6"/>
    </row>
    <row r="4" spans="1:12" ht="63.75" x14ac:dyDescent="0.25">
      <c r="A4" s="6" t="s">
        <v>38</v>
      </c>
      <c r="B4" s="6" t="s">
        <v>39</v>
      </c>
      <c r="C4" s="6" t="s">
        <v>35</v>
      </c>
      <c r="D4" s="6" t="s">
        <v>40</v>
      </c>
      <c r="E4" s="5" t="s">
        <v>27</v>
      </c>
      <c r="F4" s="5" t="s">
        <v>28</v>
      </c>
      <c r="G4" s="7"/>
      <c r="H4" s="7"/>
      <c r="I4" s="7"/>
      <c r="J4" s="7" t="s">
        <v>37</v>
      </c>
      <c r="K4" s="6"/>
      <c r="L4" s="6"/>
    </row>
    <row r="5" spans="1:12" ht="63.75" x14ac:dyDescent="0.25">
      <c r="A5" s="5" t="s">
        <v>41</v>
      </c>
      <c r="B5" s="5" t="s">
        <v>42</v>
      </c>
      <c r="C5" s="5" t="s">
        <v>35</v>
      </c>
      <c r="D5" s="5" t="s">
        <v>43</v>
      </c>
      <c r="E5" s="5" t="s">
        <v>27</v>
      </c>
      <c r="F5" s="5" t="s">
        <v>28</v>
      </c>
      <c r="G5" s="7"/>
      <c r="H5" s="7"/>
      <c r="I5" s="7"/>
      <c r="J5" s="7" t="s">
        <v>37</v>
      </c>
      <c r="K5" s="6"/>
      <c r="L5" s="6"/>
    </row>
    <row r="6" spans="1:12" ht="63.75" x14ac:dyDescent="0.25">
      <c r="A6" s="5" t="s">
        <v>44</v>
      </c>
      <c r="B6" s="5" t="s">
        <v>45</v>
      </c>
      <c r="C6" s="5" t="s">
        <v>46</v>
      </c>
      <c r="D6" s="5" t="s">
        <v>47</v>
      </c>
      <c r="E6" s="5" t="s">
        <v>27</v>
      </c>
      <c r="F6" s="5" t="s">
        <v>28</v>
      </c>
      <c r="G6" s="7"/>
      <c r="H6" s="7"/>
      <c r="I6" s="7"/>
      <c r="J6" s="7" t="s">
        <v>37</v>
      </c>
      <c r="K6" s="6"/>
      <c r="L6" s="6"/>
    </row>
    <row r="7" spans="1:12" ht="63.75" x14ac:dyDescent="0.25">
      <c r="A7" s="6" t="s">
        <v>49</v>
      </c>
      <c r="B7" s="6" t="s">
        <v>50</v>
      </c>
      <c r="C7" s="6" t="s">
        <v>46</v>
      </c>
      <c r="D7" s="6" t="s">
        <v>51</v>
      </c>
      <c r="E7" s="5" t="s">
        <v>27</v>
      </c>
      <c r="F7" s="5" t="s">
        <v>28</v>
      </c>
      <c r="G7" s="7"/>
      <c r="H7" s="7"/>
      <c r="I7" s="7"/>
      <c r="J7" s="7" t="s">
        <v>37</v>
      </c>
      <c r="K7" s="6"/>
      <c r="L7" s="6"/>
    </row>
    <row r="8" spans="1:12" ht="63.75" x14ac:dyDescent="0.25">
      <c r="A8" s="6" t="s">
        <v>52</v>
      </c>
      <c r="B8" s="6" t="s">
        <v>53</v>
      </c>
      <c r="C8" s="6" t="s">
        <v>35</v>
      </c>
      <c r="D8" s="6" t="s">
        <v>54</v>
      </c>
      <c r="E8" s="5" t="s">
        <v>27</v>
      </c>
      <c r="F8" s="5" t="s">
        <v>28</v>
      </c>
      <c r="G8" s="7"/>
      <c r="H8" s="7"/>
      <c r="I8" s="7"/>
      <c r="J8" s="7" t="s">
        <v>37</v>
      </c>
      <c r="K8" s="6"/>
      <c r="L8" s="6"/>
    </row>
    <row r="9" spans="1:12" ht="63.75" x14ac:dyDescent="0.25">
      <c r="A9" s="6" t="s">
        <v>55</v>
      </c>
      <c r="B9" s="6" t="s">
        <v>56</v>
      </c>
      <c r="C9" s="6" t="s">
        <v>35</v>
      </c>
      <c r="D9" s="6" t="s">
        <v>57</v>
      </c>
      <c r="E9" s="5" t="s">
        <v>27</v>
      </c>
      <c r="F9" s="5" t="s">
        <v>28</v>
      </c>
      <c r="G9" s="7"/>
      <c r="H9" s="7"/>
      <c r="I9" s="7"/>
      <c r="J9" s="7" t="s">
        <v>37</v>
      </c>
      <c r="K9" s="6"/>
      <c r="L9" s="6"/>
    </row>
    <row r="10" spans="1:12" ht="63.75" x14ac:dyDescent="0.25">
      <c r="A10" s="6" t="s">
        <v>58</v>
      </c>
      <c r="B10" s="6" t="s">
        <v>56</v>
      </c>
      <c r="C10" s="6" t="s">
        <v>35</v>
      </c>
      <c r="D10" s="6" t="s">
        <v>59</v>
      </c>
      <c r="E10" s="5" t="s">
        <v>27</v>
      </c>
      <c r="F10" s="5" t="s">
        <v>28</v>
      </c>
      <c r="G10" s="7"/>
      <c r="H10" s="7"/>
      <c r="I10" s="7"/>
      <c r="J10" s="7" t="s">
        <v>37</v>
      </c>
      <c r="K10" s="6"/>
      <c r="L10" s="6"/>
    </row>
    <row r="11" spans="1:12" ht="63.75" x14ac:dyDescent="0.25">
      <c r="A11" s="6" t="s">
        <v>60</v>
      </c>
      <c r="B11" s="6" t="s">
        <v>45</v>
      </c>
      <c r="C11" s="6" t="s">
        <v>46</v>
      </c>
      <c r="D11" s="6" t="s">
        <v>61</v>
      </c>
      <c r="E11" s="5" t="s">
        <v>27</v>
      </c>
      <c r="F11" s="5" t="s">
        <v>28</v>
      </c>
      <c r="G11" s="7"/>
      <c r="H11" s="7"/>
      <c r="I11" s="7"/>
      <c r="J11" s="7" t="s">
        <v>37</v>
      </c>
      <c r="K11" s="6"/>
      <c r="L11" s="6"/>
    </row>
    <row r="12" spans="1:12" ht="63.75" x14ac:dyDescent="0.25">
      <c r="A12" s="6" t="s">
        <v>62</v>
      </c>
      <c r="B12" s="6" t="s">
        <v>63</v>
      </c>
      <c r="C12" s="6" t="s">
        <v>64</v>
      </c>
      <c r="D12" s="6" t="s">
        <v>65</v>
      </c>
      <c r="E12" s="5" t="s">
        <v>27</v>
      </c>
      <c r="F12" s="5" t="s">
        <v>137</v>
      </c>
      <c r="G12" s="7"/>
      <c r="H12" s="7"/>
      <c r="I12" s="7"/>
      <c r="J12" s="7" t="s">
        <v>37</v>
      </c>
      <c r="K12" s="6"/>
      <c r="L12" s="6"/>
    </row>
    <row r="13" spans="1:12" ht="38.25" x14ac:dyDescent="0.25">
      <c r="A13" s="6" t="s">
        <v>66</v>
      </c>
      <c r="B13" s="6" t="s">
        <v>67</v>
      </c>
      <c r="C13" s="6" t="s">
        <v>68</v>
      </c>
      <c r="D13" s="6" t="s">
        <v>69</v>
      </c>
      <c r="E13" s="5" t="s">
        <v>27</v>
      </c>
      <c r="F13" s="7"/>
      <c r="G13" s="7"/>
      <c r="H13" s="7"/>
      <c r="I13" s="7"/>
      <c r="J13" s="7" t="s">
        <v>37</v>
      </c>
      <c r="K13" s="6"/>
      <c r="L13" s="6"/>
    </row>
    <row r="14" spans="1:12" ht="38.25" x14ac:dyDescent="0.25">
      <c r="A14" s="6" t="s">
        <v>70</v>
      </c>
      <c r="B14" s="6" t="s">
        <v>71</v>
      </c>
      <c r="C14" s="6" t="s">
        <v>68</v>
      </c>
      <c r="D14" s="6" t="s">
        <v>72</v>
      </c>
      <c r="E14" s="5" t="s">
        <v>27</v>
      </c>
      <c r="F14" s="7"/>
      <c r="G14" s="7"/>
      <c r="H14" s="7"/>
      <c r="I14" s="7"/>
      <c r="J14" s="7" t="s">
        <v>37</v>
      </c>
      <c r="K14" s="6"/>
      <c r="L14" s="6"/>
    </row>
    <row r="15" spans="1:12" ht="38.25" x14ac:dyDescent="0.25">
      <c r="A15" s="6" t="s">
        <v>73</v>
      </c>
      <c r="B15" s="6" t="s">
        <v>74</v>
      </c>
      <c r="C15" s="6" t="s">
        <v>75</v>
      </c>
      <c r="D15" s="6" t="s">
        <v>76</v>
      </c>
      <c r="E15" s="5" t="s">
        <v>27</v>
      </c>
      <c r="F15" s="7"/>
      <c r="G15" s="7"/>
      <c r="H15" s="7"/>
      <c r="I15" s="7"/>
      <c r="J15" s="7" t="s">
        <v>37</v>
      </c>
      <c r="K15" s="6"/>
      <c r="L15" s="6"/>
    </row>
    <row r="16" spans="1:12" ht="38.25" x14ac:dyDescent="0.25">
      <c r="A16" s="6" t="s">
        <v>77</v>
      </c>
      <c r="B16" s="6" t="s">
        <v>74</v>
      </c>
      <c r="C16" s="6" t="s">
        <v>75</v>
      </c>
      <c r="D16" s="6" t="s">
        <v>78</v>
      </c>
      <c r="E16" s="5" t="s">
        <v>27</v>
      </c>
      <c r="F16" s="7"/>
      <c r="G16" s="7"/>
      <c r="H16" s="7"/>
      <c r="I16" s="7"/>
      <c r="J16" s="7" t="s">
        <v>37</v>
      </c>
      <c r="K16" s="6"/>
      <c r="L16" s="6"/>
    </row>
    <row r="17" spans="1:12" ht="38.25" x14ac:dyDescent="0.25">
      <c r="A17" s="6" t="s">
        <v>79</v>
      </c>
      <c r="B17" s="6" t="s">
        <v>80</v>
      </c>
      <c r="C17" s="6" t="s">
        <v>25</v>
      </c>
      <c r="D17" s="6" t="s">
        <v>81</v>
      </c>
      <c r="E17" s="5" t="s">
        <v>27</v>
      </c>
      <c r="F17" s="7"/>
      <c r="G17" s="7"/>
      <c r="H17" s="7"/>
      <c r="I17" s="7"/>
      <c r="J17" s="7" t="s">
        <v>37</v>
      </c>
      <c r="K17" s="6"/>
      <c r="L17" s="6"/>
    </row>
    <row r="18" spans="1:12" ht="38.25" x14ac:dyDescent="0.25">
      <c r="A18" s="6" t="s">
        <v>82</v>
      </c>
      <c r="B18" s="6" t="s">
        <v>83</v>
      </c>
      <c r="C18" s="6" t="s">
        <v>46</v>
      </c>
      <c r="D18" s="6" t="s">
        <v>84</v>
      </c>
      <c r="E18" s="5" t="s">
        <v>27</v>
      </c>
      <c r="F18" s="7"/>
      <c r="G18" s="7"/>
      <c r="H18" s="7"/>
      <c r="I18" s="7"/>
      <c r="J18" s="7" t="s">
        <v>37</v>
      </c>
      <c r="K18" s="6"/>
      <c r="L18" s="6"/>
    </row>
    <row r="19" spans="1:12" ht="38.25" x14ac:dyDescent="0.25">
      <c r="A19" s="6" t="s">
        <v>85</v>
      </c>
      <c r="B19" s="6" t="s">
        <v>86</v>
      </c>
      <c r="C19" s="6" t="s">
        <v>46</v>
      </c>
      <c r="D19" s="6" t="s">
        <v>87</v>
      </c>
      <c r="E19" s="5" t="s">
        <v>27</v>
      </c>
      <c r="F19" s="7"/>
      <c r="G19" s="7"/>
      <c r="H19" s="7"/>
      <c r="I19" s="7"/>
      <c r="J19" s="7" t="s">
        <v>37</v>
      </c>
      <c r="K19" s="6"/>
      <c r="L19" s="6"/>
    </row>
    <row r="20" spans="1:12" ht="38.25" x14ac:dyDescent="0.25">
      <c r="A20" s="6" t="s">
        <v>88</v>
      </c>
      <c r="B20" s="6" t="s">
        <v>89</v>
      </c>
      <c r="C20" s="6" t="s">
        <v>46</v>
      </c>
      <c r="D20" s="6" t="s">
        <v>90</v>
      </c>
      <c r="E20" s="5" t="s">
        <v>27</v>
      </c>
      <c r="F20" s="7"/>
      <c r="G20" s="7"/>
      <c r="H20" s="7"/>
      <c r="I20" s="7"/>
      <c r="J20" s="7" t="s">
        <v>37</v>
      </c>
      <c r="K20" s="6"/>
      <c r="L20" s="6"/>
    </row>
    <row r="21" spans="1:12" ht="38.25" x14ac:dyDescent="0.25">
      <c r="A21" s="6" t="s">
        <v>91</v>
      </c>
      <c r="B21" s="6" t="s">
        <v>92</v>
      </c>
      <c r="C21" s="6" t="s">
        <v>35</v>
      </c>
      <c r="D21" s="6" t="s">
        <v>93</v>
      </c>
      <c r="E21" s="5" t="s">
        <v>27</v>
      </c>
      <c r="F21" s="7"/>
      <c r="G21" s="7"/>
      <c r="H21" s="7"/>
      <c r="I21" s="7"/>
      <c r="J21" s="7" t="s">
        <v>37</v>
      </c>
      <c r="K21" s="6"/>
      <c r="L21" s="6"/>
    </row>
    <row r="22" spans="1:12" ht="38.25" x14ac:dyDescent="0.25">
      <c r="A22" s="6" t="s">
        <v>94</v>
      </c>
      <c r="B22" s="6" t="s">
        <v>95</v>
      </c>
      <c r="C22" s="6" t="s">
        <v>35</v>
      </c>
      <c r="D22" s="6" t="s">
        <v>96</v>
      </c>
      <c r="E22" s="5" t="s">
        <v>27</v>
      </c>
      <c r="F22" s="7"/>
      <c r="G22" s="7"/>
      <c r="H22" s="7"/>
      <c r="I22" s="7"/>
      <c r="J22" s="7" t="s">
        <v>37</v>
      </c>
      <c r="K22" s="6"/>
      <c r="L22" s="6"/>
    </row>
    <row r="23" spans="1:12" ht="38.25" x14ac:dyDescent="0.25">
      <c r="A23" s="6" t="s">
        <v>97</v>
      </c>
      <c r="B23" s="6" t="s">
        <v>98</v>
      </c>
      <c r="C23" s="6" t="s">
        <v>35</v>
      </c>
      <c r="D23" s="6" t="s">
        <v>99</v>
      </c>
      <c r="E23" s="5" t="s">
        <v>27</v>
      </c>
      <c r="F23" s="7"/>
      <c r="G23" s="7"/>
      <c r="H23" s="7"/>
      <c r="I23" s="7"/>
      <c r="J23" s="7" t="s">
        <v>37</v>
      </c>
      <c r="K23" s="6"/>
      <c r="L23" s="6"/>
    </row>
    <row r="24" spans="1:12" ht="38.25" x14ac:dyDescent="0.25">
      <c r="A24" s="6" t="s">
        <v>100</v>
      </c>
      <c r="B24" s="6" t="s">
        <v>101</v>
      </c>
      <c r="C24" s="6" t="s">
        <v>46</v>
      </c>
      <c r="D24" s="6" t="s">
        <v>102</v>
      </c>
      <c r="E24" s="5" t="s">
        <v>27</v>
      </c>
      <c r="F24" s="7"/>
      <c r="G24" s="7"/>
      <c r="H24" s="7"/>
      <c r="I24" s="7"/>
      <c r="J24" s="7" t="s">
        <v>37</v>
      </c>
      <c r="K24" s="6"/>
      <c r="L24" s="6"/>
    </row>
    <row r="25" spans="1:12" ht="38.25" x14ac:dyDescent="0.25">
      <c r="A25" s="6" t="s">
        <v>103</v>
      </c>
      <c r="B25" s="6" t="s">
        <v>104</v>
      </c>
      <c r="C25" s="6" t="s">
        <v>68</v>
      </c>
      <c r="D25" s="6" t="s">
        <v>105</v>
      </c>
      <c r="E25" s="5" t="s">
        <v>27</v>
      </c>
      <c r="F25" s="7"/>
      <c r="G25" s="7"/>
      <c r="H25" s="7"/>
      <c r="I25" s="7"/>
      <c r="J25" s="7" t="s">
        <v>37</v>
      </c>
      <c r="K25" s="6"/>
      <c r="L25" s="6"/>
    </row>
    <row r="26" spans="1:12" ht="38.25" x14ac:dyDescent="0.25">
      <c r="A26" s="6" t="s">
        <v>106</v>
      </c>
      <c r="B26" s="6" t="s">
        <v>24</v>
      </c>
      <c r="C26" s="6" t="s">
        <v>107</v>
      </c>
      <c r="D26" s="6" t="s">
        <v>108</v>
      </c>
      <c r="E26" s="5" t="s">
        <v>27</v>
      </c>
      <c r="F26" s="7"/>
      <c r="G26" s="7"/>
      <c r="H26" s="7"/>
      <c r="I26" s="7"/>
      <c r="J26" s="7" t="s">
        <v>37</v>
      </c>
      <c r="K26" s="6"/>
      <c r="L26" s="6"/>
    </row>
    <row r="27" spans="1:12" ht="38.25" x14ac:dyDescent="0.25">
      <c r="A27" s="6" t="s">
        <v>109</v>
      </c>
      <c r="B27" s="6" t="s">
        <v>80</v>
      </c>
      <c r="C27" s="6" t="s">
        <v>107</v>
      </c>
      <c r="D27" s="6" t="s">
        <v>110</v>
      </c>
      <c r="E27" s="5" t="s">
        <v>27</v>
      </c>
      <c r="F27" s="7"/>
      <c r="G27" s="7"/>
      <c r="H27" s="7"/>
      <c r="I27" s="7"/>
      <c r="J27" s="7" t="s">
        <v>37</v>
      </c>
      <c r="K27" s="6"/>
      <c r="L27" s="6"/>
    </row>
  </sheetData>
  <autoFilter ref="A1:L27" xr:uid="{00000000-0009-0000-0000-000001000000}"/>
  <conditionalFormatting sqref="J2:J57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allowBlank="1" sqref="J2:J57" xr:uid="{00000000-0002-0000-01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Normal="100" workbookViewId="0"/>
  </sheetViews>
  <sheetFormatPr defaultColWidth="8.7109375" defaultRowHeight="15" x14ac:dyDescent="0.25"/>
  <cols>
    <col min="1" max="1" width="34" customWidth="1"/>
    <col min="2" max="5" width="24" customWidth="1"/>
  </cols>
  <sheetData>
    <row r="1" spans="1:5" ht="16.5" x14ac:dyDescent="0.25">
      <c r="A1" s="8" t="s">
        <v>111</v>
      </c>
    </row>
    <row r="3" spans="1:5" x14ac:dyDescent="0.25">
      <c r="A3" s="9" t="s">
        <v>112</v>
      </c>
      <c r="B3" s="4" t="s">
        <v>113</v>
      </c>
      <c r="C3" s="4" t="s">
        <v>114</v>
      </c>
      <c r="D3" s="4" t="s">
        <v>115</v>
      </c>
      <c r="E3" s="4" t="s">
        <v>116</v>
      </c>
    </row>
    <row r="4" spans="1:5" x14ac:dyDescent="0.25">
      <c r="A4" s="10" t="s">
        <v>117</v>
      </c>
      <c r="B4" s="11" t="s">
        <v>118</v>
      </c>
      <c r="C4" s="11" t="s">
        <v>118</v>
      </c>
      <c r="D4" s="11" t="s">
        <v>118</v>
      </c>
      <c r="E4" s="11" t="s">
        <v>119</v>
      </c>
    </row>
    <row r="5" spans="1:5" x14ac:dyDescent="0.25">
      <c r="A5" s="10" t="s">
        <v>120</v>
      </c>
      <c r="B5" s="11" t="s">
        <v>118</v>
      </c>
      <c r="C5" s="11" t="s">
        <v>118</v>
      </c>
      <c r="D5" s="11" t="s">
        <v>119</v>
      </c>
      <c r="E5" s="11" t="s">
        <v>118</v>
      </c>
    </row>
    <row r="6" spans="1:5" x14ac:dyDescent="0.25">
      <c r="A6" s="10" t="s">
        <v>121</v>
      </c>
      <c r="B6" s="11" t="s">
        <v>118</v>
      </c>
      <c r="C6" s="11" t="s">
        <v>119</v>
      </c>
      <c r="D6" s="11" t="s">
        <v>122</v>
      </c>
      <c r="E6" s="11" t="s">
        <v>118</v>
      </c>
    </row>
    <row r="7" spans="1:5" ht="28.5" x14ac:dyDescent="0.25">
      <c r="A7" s="10" t="s">
        <v>18</v>
      </c>
      <c r="B7" s="11" t="s">
        <v>123</v>
      </c>
      <c r="C7" s="11" t="s">
        <v>124</v>
      </c>
      <c r="D7" s="11" t="s">
        <v>125</v>
      </c>
      <c r="E7" s="11" t="s">
        <v>126</v>
      </c>
    </row>
    <row r="8" spans="1:5" x14ac:dyDescent="0.25">
      <c r="A8" s="10" t="s">
        <v>127</v>
      </c>
      <c r="B8" s="11" t="s">
        <v>23</v>
      </c>
      <c r="C8" s="11" t="s">
        <v>58</v>
      </c>
      <c r="D8" s="11" t="s">
        <v>128</v>
      </c>
      <c r="E8" s="11" t="s">
        <v>62</v>
      </c>
    </row>
    <row r="10" spans="1:5" x14ac:dyDescent="0.25">
      <c r="A10" s="12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2" customWidth="1"/>
    <col min="3" max="3" width="10" customWidth="1"/>
  </cols>
  <sheetData>
    <row r="1" spans="1:3" ht="16.5" x14ac:dyDescent="0.25">
      <c r="A1" s="8" t="s">
        <v>130</v>
      </c>
    </row>
    <row r="3" spans="1:3" x14ac:dyDescent="0.25">
      <c r="A3" s="13" t="s">
        <v>20</v>
      </c>
      <c r="B3" s="13" t="s">
        <v>131</v>
      </c>
      <c r="C3" s="13" t="s">
        <v>132</v>
      </c>
    </row>
    <row r="4" spans="1:3" x14ac:dyDescent="0.25">
      <c r="A4" s="14" t="s">
        <v>32</v>
      </c>
      <c r="B4" s="14">
        <f>COUNTIF('Test Cases'!$J$2:$J$57,"Pass")</f>
        <v>1</v>
      </c>
      <c r="C4" s="15">
        <f>IF($B$8=0,0,B4/$B$8)</f>
        <v>3.8461538461538464E-2</v>
      </c>
    </row>
    <row r="5" spans="1:3" x14ac:dyDescent="0.25">
      <c r="A5" s="14" t="s">
        <v>48</v>
      </c>
      <c r="B5" s="14">
        <f>COUNTIF('Test Cases'!$J$2:$J$57,"Fail")</f>
        <v>0</v>
      </c>
      <c r="C5" s="15">
        <f>IF($B$8=0,0,B5/$B$8)</f>
        <v>0</v>
      </c>
    </row>
    <row r="6" spans="1:3" x14ac:dyDescent="0.25">
      <c r="A6" s="14" t="s">
        <v>133</v>
      </c>
      <c r="B6" s="14">
        <f>COUNTIF('Test Cases'!$J$2:$J$57,"Blocked")</f>
        <v>0</v>
      </c>
      <c r="C6" s="15">
        <f>IF($B$8=0,0,B6/$B$8)</f>
        <v>0</v>
      </c>
    </row>
    <row r="7" spans="1:3" x14ac:dyDescent="0.25">
      <c r="A7" s="14" t="s">
        <v>37</v>
      </c>
      <c r="B7" s="14">
        <f>COUNTIF('Test Cases'!$J$2:$J$57,"Not Run")</f>
        <v>25</v>
      </c>
      <c r="C7" s="15">
        <f>IF($B$8=0,0,B7/$B$8)</f>
        <v>0.96153846153846156</v>
      </c>
    </row>
    <row r="8" spans="1:3" x14ac:dyDescent="0.25">
      <c r="A8" s="16" t="s">
        <v>134</v>
      </c>
      <c r="B8" s="16">
        <f>SUM(B4:B7)</f>
        <v>26</v>
      </c>
      <c r="C8" s="17">
        <f>IF($B$8=0,0,B8/$B$8)</f>
        <v>1</v>
      </c>
    </row>
    <row r="10" spans="1:3" x14ac:dyDescent="0.25">
      <c r="A10" s="2" t="s">
        <v>135</v>
      </c>
      <c r="B10" s="18">
        <f>IF(B8=0,0,(B4+B5+B6)/B8)</f>
        <v>3.8461538461538464E-2</v>
      </c>
    </row>
    <row r="11" spans="1:3" x14ac:dyDescent="0.25">
      <c r="A11" s="2" t="s">
        <v>136</v>
      </c>
      <c r="B11" s="18">
        <f>IF((B4+B5+B6)=0,0,B4/(B4+B5+B6))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 dan</vt:lpstr>
      <vt:lpstr>Test Cases</vt:lpstr>
      <vt:lpstr>Decision 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Mia Pham</cp:lastModifiedBy>
  <cp:revision>0</cp:revision>
  <dcterms:created xsi:type="dcterms:W3CDTF">2026-10-30T05:01:52Z</dcterms:created>
  <dcterms:modified xsi:type="dcterms:W3CDTF">2026-10-30T06:14:07Z</dcterms:modified>
  <dc:language>en-US</dc:language>
</cp:coreProperties>
</file>